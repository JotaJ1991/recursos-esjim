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osejavier-yenifer/Documents/latex/u2_plan_clase/"/>
    </mc:Choice>
  </mc:AlternateContent>
  <xr:revisionPtr revIDLastSave="0" documentId="13_ncr:1_{F712641E-4CF9-6E49-AABF-1BA220B0CF23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Demo PL Patrul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G32" i="1" s="1"/>
  <c r="F30" i="1"/>
  <c r="D30" i="1"/>
  <c r="G30" i="1" s="1"/>
  <c r="F29" i="1"/>
  <c r="D29" i="1"/>
  <c r="G29" i="1" s="1"/>
  <c r="F28" i="1"/>
  <c r="D28" i="1"/>
  <c r="G28" i="1" s="1"/>
  <c r="D27" i="1"/>
  <c r="G27" i="1" s="1"/>
  <c r="G26" i="1"/>
  <c r="D26" i="1"/>
  <c r="G21" i="1"/>
</calcChain>
</file>

<file path=xl/sharedStrings.xml><?xml version="1.0" encoding="utf-8"?>
<sst xmlns="http://schemas.openxmlformats.org/spreadsheetml/2006/main" count="78" uniqueCount="73">
  <si>
    <t>ESJIM · Matemática aplicada a la profesión</t>
  </si>
  <si>
    <t>Asignación óptima de patrullas — Comando Suroccidente (Cali)</t>
  </si>
  <si>
    <t>▌ 1. PLANTEAMIENTO DEL PROBLEMA</t>
  </si>
  <si>
    <t>El Comando Suroccidente de Cali cuenta con 20 patrullas operativas y un presupuesto diario de $3.200.000 para asignarlas a tres zonas del distrito. Cada zona tiene un nivel de prioridad distinto (peso ponderado), un costo por patrulla-día y una demanda mínima operativa. OBJETIVO: maximizar la cobertura ponderada total asignando el número óptimo de patrullas a cada zona, respetando presupuesto y mínimos operativos.</t>
  </si>
  <si>
    <t>▌ 2. DATOS DEL PROBLEMA</t>
  </si>
  <si>
    <t>Zona</t>
  </si>
  <si>
    <t>Peso prioridad</t>
  </si>
  <si>
    <t>Costo patrulla-día</t>
  </si>
  <si>
    <t>Demanda mínima</t>
  </si>
  <si>
    <t>Variable</t>
  </si>
  <si>
    <t>Asignado (editable)</t>
  </si>
  <si>
    <t>Z1 — Aguablanca (alta)</t>
  </si>
  <si>
    <t>x1</t>
  </si>
  <si>
    <t>Z2 — Ladera (media)</t>
  </si>
  <si>
    <t>x2</t>
  </si>
  <si>
    <t>Z3 — Centro (baja)</t>
  </si>
  <si>
    <t>x3</t>
  </si>
  <si>
    <t xml:space="preserve">   ↑ Las celdas G15, G16, G17 (amarillas) son las VARIABLES DE DECISIÓN que Solver modificará. Inicializadas en los valores mínimos.</t>
  </si>
  <si>
    <t>▌ 3. FUNCIÓN OBJETIVO (maximizar cobertura ponderada)</t>
  </si>
  <si>
    <t>Z =</t>
  </si>
  <si>
    <t>3·x1 + 2·x2 + 1·x3   →   =SUMAPRODUCTO(C15:C17; G15:G17)</t>
  </si>
  <si>
    <t xml:space="preserve">   ↑ Celda G21 (borde dorado) es la CELDA OBJETIVO que Solver debe MAXIMIZAR.</t>
  </si>
  <si>
    <t>▌ 4. RESTRICCIONES</t>
  </si>
  <si>
    <t>#</t>
  </si>
  <si>
    <t>Descripción</t>
  </si>
  <si>
    <t>Lado izquierdo</t>
  </si>
  <si>
    <t>Operador</t>
  </si>
  <si>
    <t>Lado derecho</t>
  </si>
  <si>
    <t>Estado</t>
  </si>
  <si>
    <t>Total patrullas disponibles</t>
  </si>
  <si>
    <t>≤</t>
  </si>
  <si>
    <t>Presupuesto diario ($)</t>
  </si>
  <si>
    <t>Demanda mínima Z1 (Aguablanca)</t>
  </si>
  <si>
    <t>≥</t>
  </si>
  <si>
    <t>Demanda mínima Z2 (Ladera)</t>
  </si>
  <si>
    <t>Demanda mínima Z3 (Centro)</t>
  </si>
  <si>
    <t>Presupuesto usado / disponible / margen:</t>
  </si>
  <si>
    <t>de</t>
  </si>
  <si>
    <t>▌ 5. INSTRUCCIONES PARA CONFIGURAR EXCEL SOLVER</t>
  </si>
  <si>
    <t>Paso 1</t>
  </si>
  <si>
    <t>Activar Solver (si no aparece en pestaña Datos)</t>
  </si>
  <si>
    <t>Archivo → Opciones → Complementos → Administrar: Complementos de Excel → Ir → marcar «Solver» → Aceptar.</t>
  </si>
  <si>
    <t>Paso 2</t>
  </si>
  <si>
    <t>Abrir Solver</t>
  </si>
  <si>
    <t>Pestaña Datos → botón Solver (al extremo derecho).</t>
  </si>
  <si>
    <t>Paso 3</t>
  </si>
  <si>
    <t>Establecer celda objetivo</t>
  </si>
  <si>
    <t>Campo «Establecer objetivo»: seleccionar celda $G$21. Opción: MÁX (maximizar).</t>
  </si>
  <si>
    <t>Paso 4</t>
  </si>
  <si>
    <t>Cambiando las celdas variables</t>
  </si>
  <si>
    <t>Campo «Cambiando las celdas de variables»: seleccionar $G$15:$G$17.</t>
  </si>
  <si>
    <t>Paso 5</t>
  </si>
  <si>
    <t>Agregar las 5 restricciones</t>
  </si>
  <si>
    <t>Click «Agregar». Restricción 1: $D$26 ≤ $F$26. Restricción 2: $D$27 ≤ $F$27. Restricciones 3-4-5: $D$28 ≥ $F$28, $D$29 ≥ $F$29, $D$30 ≥ $F$30. También puede agregar: $G$15:$G$17 = entero.</t>
  </si>
  <si>
    <t>Paso 6</t>
  </si>
  <si>
    <t>Método de resolución</t>
  </si>
  <si>
    <t>Desplegar «Seleccionar un método de resolución» → elegir «Simplex LP».</t>
  </si>
  <si>
    <t>Paso 7</t>
  </si>
  <si>
    <t>Resolver y aceptar</t>
  </si>
  <si>
    <t>Click «Resolver» → cuando termine, seleccionar «Conservar solución de Solver» → Aceptar.</t>
  </si>
  <si>
    <t>▌ 6. SOLUCIÓN ÓPTIMA ESPERADA (referencia para el docente)</t>
  </si>
  <si>
    <t>x1 = Aguablanca</t>
  </si>
  <si>
    <t>patrullas</t>
  </si>
  <si>
    <t>x2 = Ladera</t>
  </si>
  <si>
    <t>x3 = Centro</t>
  </si>
  <si>
    <t>Z (cobertura)</t>
  </si>
  <si>
    <t>puntos ponderados</t>
  </si>
  <si>
    <t>Presupuesto usado</t>
  </si>
  <si>
    <t>de $3.200.000</t>
  </si>
  <si>
    <t>Margen disponible</t>
  </si>
  <si>
    <t>para horas extra / imprevistos</t>
  </si>
  <si>
    <t>Docente: José Javier Mercado Reyes · ESJIM — Escuela de Suboficiales y Nivel Ejecutivo "Gonzalo Jiménez de Quesada" · Abril 2026</t>
  </si>
  <si>
    <t xml:space="preserve">UNIDAD 2 · Plan de clase · Demo Programación Lineal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</si>
</sst>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;[Red]&quot;-$&quot;#,##0"/>
  </numFmts>
  <fonts count="19" x14ac:knownFonts="1">
    <font>
      <sz val="11"/>
      <color theme="1"/>
      <name val="Calibri"/>
      <family val="2"/>
      <scheme val="minor"/>
    </font>
    <font>
      <b/>
      <sz val="10"/>
      <color rgb="FFC9A227"/>
      <name val="Arial"/>
    </font>
    <font>
      <i/>
      <sz val="11"/>
      <color rgb="FFFFFFFF"/>
      <name val="Arial"/>
    </font>
    <font>
      <b/>
      <sz val="12"/>
      <color rgb="FFFFFFFF"/>
      <name val="Arial"/>
    </font>
    <font>
      <sz val="10"/>
      <color rgb="FF1A2332"/>
      <name val="Arial"/>
    </font>
    <font>
      <b/>
      <sz val="10"/>
      <color rgb="FFFFFFFF"/>
      <name val="Arial"/>
    </font>
    <font>
      <b/>
      <sz val="10"/>
      <color rgb="FF1A2332"/>
      <name val="Arial"/>
    </font>
    <font>
      <b/>
      <i/>
      <sz val="10"/>
      <color rgb="FF1E5A8E"/>
      <name val="Arial"/>
    </font>
    <font>
      <b/>
      <sz val="14"/>
      <color rgb="FF0A3B66"/>
      <name val="Arial"/>
    </font>
    <font>
      <i/>
      <sz val="9"/>
      <color rgb="FF5A6778"/>
      <name val="Arial"/>
    </font>
    <font>
      <b/>
      <sz val="11"/>
      <color rgb="FF0A3B66"/>
      <name val="Arial"/>
    </font>
    <font>
      <i/>
      <sz val="10"/>
      <color rgb="FF5A6778"/>
      <name val="Arial"/>
    </font>
    <font>
      <b/>
      <sz val="14"/>
      <color rgb="FF1E7E34"/>
      <name val="Arial"/>
    </font>
    <font>
      <b/>
      <sz val="10"/>
      <color rgb="FF0A3B66"/>
      <name val="Arial"/>
    </font>
    <font>
      <b/>
      <sz val="12"/>
      <color rgb="FF1E5A8E"/>
      <name val="Arial"/>
    </font>
    <font>
      <b/>
      <sz val="10"/>
      <color rgb="FF1E7E34"/>
      <name val="Arial"/>
    </font>
    <font>
      <b/>
      <sz val="12"/>
      <color rgb="FF1E7E34"/>
      <name val="Arial"/>
    </font>
    <font>
      <i/>
      <sz val="9"/>
      <color rgb="FFFFFFFF"/>
      <name val="Arial"/>
    </font>
    <font>
      <b/>
      <sz val="14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A3B66"/>
      </patternFill>
    </fill>
    <fill>
      <patternFill patternType="solid">
        <fgColor rgb="FFC9A227"/>
      </patternFill>
    </fill>
    <fill>
      <patternFill patternType="solid">
        <fgColor rgb="FF1E5A8E"/>
      </patternFill>
    </fill>
    <fill>
      <patternFill patternType="solid">
        <fgColor rgb="FFF4F6F8"/>
      </patternFill>
    </fill>
    <fill>
      <patternFill patternType="solid">
        <fgColor rgb="FFFFF5D6"/>
      </patternFill>
    </fill>
    <fill>
      <patternFill patternType="solid">
        <fgColor rgb="FFFFF8E7"/>
      </patternFill>
    </fill>
    <fill>
      <patternFill patternType="solid">
        <fgColor rgb="FFE9F7EF"/>
      </patternFill>
    </fill>
    <fill>
      <patternFill patternType="solid">
        <fgColor rgb="FFEAF2FA"/>
      </patternFill>
    </fill>
  </fills>
  <borders count="5">
    <border>
      <left/>
      <right/>
      <top/>
      <bottom/>
      <diagonal/>
    </border>
    <border>
      <left style="thin">
        <color rgb="FFB8C3CE"/>
      </left>
      <right style="thin">
        <color rgb="FFB8C3CE"/>
      </right>
      <top style="thin">
        <color rgb="FFB8C3CE"/>
      </top>
      <bottom style="thin">
        <color rgb="FFB8C3CE"/>
      </bottom>
      <diagonal/>
    </border>
    <border>
      <left style="medium">
        <color rgb="FF0A3B66"/>
      </left>
      <right style="medium">
        <color rgb="FF0A3B66"/>
      </right>
      <top style="medium">
        <color rgb="FF0A3B66"/>
      </top>
      <bottom style="medium">
        <color rgb="FF0A3B66"/>
      </bottom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3" borderId="0" xfId="0" applyFill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1" fontId="8" fillId="6" borderId="2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/>
    </xf>
    <xf numFmtId="1" fontId="12" fillId="6" borderId="3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13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165" fontId="15" fillId="8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4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11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0" fillId="0" borderId="4" xfId="0" applyBorder="1"/>
    <xf numFmtId="0" fontId="17" fillId="2" borderId="0" xfId="0" applyFont="1" applyFill="1" applyAlignment="1">
      <alignment horizontal="center" vertical="center" wrapText="1"/>
    </xf>
    <xf numFmtId="164" fontId="16" fillId="8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right" vertical="center"/>
    </xf>
    <xf numFmtId="0" fontId="16" fillId="8" borderId="4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sz val="10"/>
        <color rgb="FFC0392B"/>
        <name val="Arial"/>
      </font>
      <fill>
        <patternFill patternType="solid">
          <fgColor rgb="FFFDEC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5"/>
  <sheetViews>
    <sheetView tabSelected="1" zoomScale="150" workbookViewId="0">
      <selection activeCell="G21" sqref="G21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6" width="18" customWidth="1"/>
    <col min="7" max="7" width="22" customWidth="1"/>
  </cols>
  <sheetData>
    <row r="2" spans="2:7" ht="22" customHeight="1" x14ac:dyDescent="0.2">
      <c r="B2" s="24" t="s">
        <v>0</v>
      </c>
      <c r="C2" s="25"/>
      <c r="D2" s="25"/>
      <c r="E2" s="25"/>
      <c r="F2" s="25"/>
      <c r="G2" s="25"/>
    </row>
    <row r="3" spans="2:7" ht="28" customHeight="1" x14ac:dyDescent="0.2">
      <c r="B3" s="42" t="s">
        <v>72</v>
      </c>
      <c r="C3" s="25"/>
      <c r="D3" s="25"/>
      <c r="E3" s="25"/>
      <c r="F3" s="25"/>
      <c r="G3" s="25"/>
    </row>
    <row r="4" spans="2:7" ht="20" customHeight="1" x14ac:dyDescent="0.2">
      <c r="B4" s="36" t="s">
        <v>1</v>
      </c>
      <c r="C4" s="25"/>
      <c r="D4" s="25"/>
      <c r="E4" s="25"/>
      <c r="F4" s="25"/>
      <c r="G4" s="25"/>
    </row>
    <row r="5" spans="2:7" ht="4" customHeight="1" x14ac:dyDescent="0.2">
      <c r="B5" s="1"/>
      <c r="C5" s="1"/>
      <c r="D5" s="1"/>
      <c r="E5" s="1"/>
      <c r="F5" s="1"/>
      <c r="G5" s="1"/>
    </row>
    <row r="7" spans="2:7" ht="24" customHeight="1" x14ac:dyDescent="0.2">
      <c r="B7" s="28" t="s">
        <v>2</v>
      </c>
      <c r="C7" s="29"/>
      <c r="D7" s="29"/>
      <c r="E7" s="29"/>
      <c r="F7" s="29"/>
      <c r="G7" s="29"/>
    </row>
    <row r="8" spans="2:7" ht="20" customHeight="1" x14ac:dyDescent="0.2">
      <c r="B8" s="37" t="s">
        <v>3</v>
      </c>
      <c r="C8" s="29"/>
      <c r="D8" s="29"/>
      <c r="E8" s="29"/>
      <c r="F8" s="29"/>
      <c r="G8" s="29"/>
    </row>
    <row r="9" spans="2:7" ht="20" customHeight="1" x14ac:dyDescent="0.2">
      <c r="B9" s="29"/>
      <c r="C9" s="29"/>
      <c r="D9" s="29"/>
      <c r="E9" s="29"/>
      <c r="F9" s="29"/>
      <c r="G9" s="29"/>
    </row>
    <row r="10" spans="2:7" ht="20" customHeight="1" x14ac:dyDescent="0.2">
      <c r="B10" s="29"/>
      <c r="C10" s="29"/>
      <c r="D10" s="29"/>
      <c r="E10" s="29"/>
      <c r="F10" s="29"/>
      <c r="G10" s="29"/>
    </row>
    <row r="11" spans="2:7" ht="20" customHeight="1" x14ac:dyDescent="0.2">
      <c r="B11" s="29"/>
      <c r="C11" s="29"/>
      <c r="D11" s="29"/>
      <c r="E11" s="29"/>
      <c r="F11" s="29"/>
      <c r="G11" s="29"/>
    </row>
    <row r="13" spans="2:7" ht="24" customHeight="1" x14ac:dyDescent="0.2">
      <c r="B13" s="28" t="s">
        <v>4</v>
      </c>
      <c r="C13" s="29"/>
      <c r="D13" s="29"/>
      <c r="E13" s="29"/>
      <c r="F13" s="29"/>
      <c r="G13" s="29"/>
    </row>
    <row r="14" spans="2:7" ht="32" customHeight="1" x14ac:dyDescent="0.2">
      <c r="B14" s="2" t="s">
        <v>5</v>
      </c>
      <c r="C14" s="2" t="s">
        <v>6</v>
      </c>
      <c r="D14" s="2" t="s">
        <v>7</v>
      </c>
      <c r="E14" s="2" t="s">
        <v>8</v>
      </c>
      <c r="F14" s="2" t="s">
        <v>9</v>
      </c>
      <c r="G14" s="2" t="s">
        <v>10</v>
      </c>
    </row>
    <row r="15" spans="2:7" ht="26" customHeight="1" x14ac:dyDescent="0.2">
      <c r="B15" s="3" t="s">
        <v>11</v>
      </c>
      <c r="C15" s="4">
        <v>3</v>
      </c>
      <c r="D15" s="5">
        <v>180000</v>
      </c>
      <c r="E15" s="4">
        <v>6</v>
      </c>
      <c r="F15" s="6" t="s">
        <v>12</v>
      </c>
      <c r="G15" s="7">
        <v>6</v>
      </c>
    </row>
    <row r="16" spans="2:7" ht="26" customHeight="1" x14ac:dyDescent="0.2">
      <c r="B16" s="3" t="s">
        <v>13</v>
      </c>
      <c r="C16" s="4">
        <v>2</v>
      </c>
      <c r="D16" s="5">
        <v>150000</v>
      </c>
      <c r="E16" s="4">
        <v>4</v>
      </c>
      <c r="F16" s="6" t="s">
        <v>14</v>
      </c>
      <c r="G16" s="7">
        <v>4</v>
      </c>
    </row>
    <row r="17" spans="2:7" ht="26" customHeight="1" x14ac:dyDescent="0.2">
      <c r="B17" s="3" t="s">
        <v>15</v>
      </c>
      <c r="C17" s="4">
        <v>1</v>
      </c>
      <c r="D17" s="5">
        <v>130000</v>
      </c>
      <c r="E17" s="4">
        <v>3</v>
      </c>
      <c r="F17" s="6" t="s">
        <v>16</v>
      </c>
      <c r="G17" s="7">
        <v>3</v>
      </c>
    </row>
    <row r="18" spans="2:7" ht="18" customHeight="1" x14ac:dyDescent="0.2">
      <c r="B18" s="38" t="s">
        <v>17</v>
      </c>
      <c r="C18" s="29"/>
      <c r="D18" s="29"/>
      <c r="E18" s="29"/>
      <c r="F18" s="29"/>
      <c r="G18" s="29"/>
    </row>
    <row r="20" spans="2:7" ht="24" customHeight="1" x14ac:dyDescent="0.2">
      <c r="B20" s="28" t="s">
        <v>18</v>
      </c>
      <c r="C20" s="29"/>
      <c r="D20" s="29"/>
      <c r="E20" s="29"/>
      <c r="F20" s="29"/>
      <c r="G20" s="29"/>
    </row>
    <row r="21" spans="2:7" ht="34" customHeight="1" x14ac:dyDescent="0.2">
      <c r="B21" s="8" t="s">
        <v>19</v>
      </c>
      <c r="C21" s="39" t="s">
        <v>20</v>
      </c>
      <c r="D21" s="29"/>
      <c r="E21" s="29"/>
      <c r="F21" s="29"/>
      <c r="G21" s="9">
        <f>SUMPRODUCT(C15:C17,G15:G17)</f>
        <v>29</v>
      </c>
    </row>
    <row r="22" spans="2:7" x14ac:dyDescent="0.2">
      <c r="B22" s="38" t="s">
        <v>21</v>
      </c>
      <c r="C22" s="29"/>
      <c r="D22" s="29"/>
      <c r="E22" s="29"/>
      <c r="F22" s="29"/>
      <c r="G22" s="29"/>
    </row>
    <row r="24" spans="2:7" ht="24" customHeight="1" x14ac:dyDescent="0.2">
      <c r="B24" s="28" t="s">
        <v>22</v>
      </c>
      <c r="C24" s="29"/>
      <c r="D24" s="29"/>
      <c r="E24" s="29"/>
      <c r="F24" s="29"/>
      <c r="G24" s="29"/>
    </row>
    <row r="25" spans="2:7" ht="30" customHeight="1" x14ac:dyDescent="0.2">
      <c r="B25" s="2" t="s">
        <v>23</v>
      </c>
      <c r="C25" s="2" t="s">
        <v>24</v>
      </c>
      <c r="D25" s="2" t="s">
        <v>25</v>
      </c>
      <c r="E25" s="2" t="s">
        <v>26</v>
      </c>
      <c r="F25" s="2" t="s">
        <v>27</v>
      </c>
      <c r="G25" s="2" t="s">
        <v>28</v>
      </c>
    </row>
    <row r="26" spans="2:7" ht="22" customHeight="1" x14ac:dyDescent="0.2">
      <c r="B26" s="10">
        <v>1</v>
      </c>
      <c r="C26" s="11" t="s">
        <v>29</v>
      </c>
      <c r="D26" s="12">
        <f>SUM(G15:G17)</f>
        <v>13</v>
      </c>
      <c r="E26" s="13" t="s">
        <v>30</v>
      </c>
      <c r="F26" s="4">
        <v>20</v>
      </c>
      <c r="G26" s="14" t="str">
        <f>IF(D26&lt;=F26,"✓ CUMPLE","✗ NO CUMPLE")</f>
        <v>✓ CUMPLE</v>
      </c>
    </row>
    <row r="27" spans="2:7" ht="22" customHeight="1" x14ac:dyDescent="0.2">
      <c r="B27" s="10">
        <v>2</v>
      </c>
      <c r="C27" s="11" t="s">
        <v>31</v>
      </c>
      <c r="D27" s="15">
        <f>SUMPRODUCT(D15:D17,G15:G17)</f>
        <v>2070000</v>
      </c>
      <c r="E27" s="13" t="s">
        <v>30</v>
      </c>
      <c r="F27" s="16">
        <v>3200000</v>
      </c>
      <c r="G27" s="14" t="str">
        <f>IF(D27&lt;=F27,"✓ CUMPLE","✗ NO CUMPLE")</f>
        <v>✓ CUMPLE</v>
      </c>
    </row>
    <row r="28" spans="2:7" ht="22" customHeight="1" x14ac:dyDescent="0.2">
      <c r="B28" s="10">
        <v>3</v>
      </c>
      <c r="C28" s="11" t="s">
        <v>32</v>
      </c>
      <c r="D28" s="12">
        <f>G15</f>
        <v>6</v>
      </c>
      <c r="E28" s="13" t="s">
        <v>33</v>
      </c>
      <c r="F28" s="4">
        <f>E15</f>
        <v>6</v>
      </c>
      <c r="G28" s="14" t="str">
        <f>IF(D28&gt;=F28,"✓ CUMPLE","✗ NO CUMPLE")</f>
        <v>✓ CUMPLE</v>
      </c>
    </row>
    <row r="29" spans="2:7" ht="22" customHeight="1" x14ac:dyDescent="0.2">
      <c r="B29" s="10">
        <v>4</v>
      </c>
      <c r="C29" s="11" t="s">
        <v>34</v>
      </c>
      <c r="D29" s="12">
        <f>G16</f>
        <v>4</v>
      </c>
      <c r="E29" s="13" t="s">
        <v>33</v>
      </c>
      <c r="F29" s="4">
        <f>E16</f>
        <v>4</v>
      </c>
      <c r="G29" s="14" t="str">
        <f>IF(D29&gt;=F29,"✓ CUMPLE","✗ NO CUMPLE")</f>
        <v>✓ CUMPLE</v>
      </c>
    </row>
    <row r="30" spans="2:7" ht="22" customHeight="1" x14ac:dyDescent="0.2">
      <c r="B30" s="10">
        <v>5</v>
      </c>
      <c r="C30" s="11" t="s">
        <v>35</v>
      </c>
      <c r="D30" s="12">
        <f>G17</f>
        <v>3</v>
      </c>
      <c r="E30" s="13" t="s">
        <v>33</v>
      </c>
      <c r="F30" s="4">
        <f>E17</f>
        <v>3</v>
      </c>
      <c r="G30" s="14" t="str">
        <f>IF(D30&gt;=F30,"✓ CUMPLE","✗ NO CUMPLE")</f>
        <v>✓ CUMPLE</v>
      </c>
    </row>
    <row r="32" spans="2:7" ht="24" customHeight="1" x14ac:dyDescent="0.2">
      <c r="B32" s="40" t="s">
        <v>36</v>
      </c>
      <c r="C32" s="29"/>
      <c r="D32" s="17">
        <f>SUMPRODUCT(D15:D17,G15:G17)</f>
        <v>2070000</v>
      </c>
      <c r="E32" s="18" t="s">
        <v>37</v>
      </c>
      <c r="F32" s="17">
        <v>3200000</v>
      </c>
      <c r="G32" s="19">
        <f>F32-D32</f>
        <v>1130000</v>
      </c>
    </row>
    <row r="35" spans="2:7" ht="24" customHeight="1" x14ac:dyDescent="0.2">
      <c r="B35" s="28" t="s">
        <v>38</v>
      </c>
      <c r="C35" s="29"/>
      <c r="D35" s="29"/>
      <c r="E35" s="29"/>
      <c r="F35" s="29"/>
      <c r="G35" s="29"/>
    </row>
    <row r="36" spans="2:7" ht="36" customHeight="1" x14ac:dyDescent="0.2">
      <c r="B36" s="20" t="s">
        <v>39</v>
      </c>
      <c r="C36" s="21" t="s">
        <v>40</v>
      </c>
      <c r="D36" s="26" t="s">
        <v>41</v>
      </c>
      <c r="E36" s="27"/>
      <c r="F36" s="27"/>
      <c r="G36" s="27"/>
    </row>
    <row r="37" spans="2:7" ht="36" customHeight="1" x14ac:dyDescent="0.2">
      <c r="B37" s="20" t="s">
        <v>42</v>
      </c>
      <c r="C37" s="21" t="s">
        <v>43</v>
      </c>
      <c r="D37" s="26" t="s">
        <v>44</v>
      </c>
      <c r="E37" s="27"/>
      <c r="F37" s="27"/>
      <c r="G37" s="27"/>
    </row>
    <row r="38" spans="2:7" ht="36" customHeight="1" x14ac:dyDescent="0.2">
      <c r="B38" s="20" t="s">
        <v>45</v>
      </c>
      <c r="C38" s="21" t="s">
        <v>46</v>
      </c>
      <c r="D38" s="26" t="s">
        <v>47</v>
      </c>
      <c r="E38" s="27"/>
      <c r="F38" s="27"/>
      <c r="G38" s="27"/>
    </row>
    <row r="39" spans="2:7" ht="36" customHeight="1" x14ac:dyDescent="0.2">
      <c r="B39" s="20" t="s">
        <v>48</v>
      </c>
      <c r="C39" s="21" t="s">
        <v>49</v>
      </c>
      <c r="D39" s="26" t="s">
        <v>50</v>
      </c>
      <c r="E39" s="27"/>
      <c r="F39" s="27"/>
      <c r="G39" s="27"/>
    </row>
    <row r="40" spans="2:7" ht="36" customHeight="1" x14ac:dyDescent="0.2">
      <c r="B40" s="20" t="s">
        <v>51</v>
      </c>
      <c r="C40" s="21" t="s">
        <v>52</v>
      </c>
      <c r="D40" s="26" t="s">
        <v>53</v>
      </c>
      <c r="E40" s="27"/>
      <c r="F40" s="27"/>
      <c r="G40" s="27"/>
    </row>
    <row r="41" spans="2:7" ht="36" customHeight="1" x14ac:dyDescent="0.2">
      <c r="B41" s="20" t="s">
        <v>54</v>
      </c>
      <c r="C41" s="21" t="s">
        <v>55</v>
      </c>
      <c r="D41" s="26" t="s">
        <v>56</v>
      </c>
      <c r="E41" s="27"/>
      <c r="F41" s="27"/>
      <c r="G41" s="27"/>
    </row>
    <row r="42" spans="2:7" ht="36" customHeight="1" x14ac:dyDescent="0.2">
      <c r="B42" s="20" t="s">
        <v>57</v>
      </c>
      <c r="C42" s="21" t="s">
        <v>58</v>
      </c>
      <c r="D42" s="26" t="s">
        <v>59</v>
      </c>
      <c r="E42" s="27"/>
      <c r="F42" s="27"/>
      <c r="G42" s="27"/>
    </row>
    <row r="45" spans="2:7" ht="24" customHeight="1" x14ac:dyDescent="0.2">
      <c r="B45" s="28" t="s">
        <v>60</v>
      </c>
      <c r="C45" s="29"/>
      <c r="D45" s="29"/>
      <c r="E45" s="29"/>
      <c r="F45" s="29"/>
      <c r="G45" s="29"/>
    </row>
    <row r="46" spans="2:7" ht="22" customHeight="1" x14ac:dyDescent="0.2">
      <c r="B46" s="22" t="s">
        <v>61</v>
      </c>
      <c r="C46" s="31">
        <v>12</v>
      </c>
      <c r="D46" s="27"/>
      <c r="E46" s="30" t="s">
        <v>62</v>
      </c>
      <c r="F46" s="27"/>
      <c r="G46" s="27"/>
    </row>
    <row r="47" spans="2:7" ht="22" customHeight="1" x14ac:dyDescent="0.2">
      <c r="B47" s="22" t="s">
        <v>63</v>
      </c>
      <c r="C47" s="31">
        <v>4</v>
      </c>
      <c r="D47" s="27"/>
      <c r="E47" s="30" t="s">
        <v>62</v>
      </c>
      <c r="F47" s="27"/>
      <c r="G47" s="27"/>
    </row>
    <row r="48" spans="2:7" ht="22" customHeight="1" x14ac:dyDescent="0.2">
      <c r="B48" s="22" t="s">
        <v>64</v>
      </c>
      <c r="C48" s="31">
        <v>4</v>
      </c>
      <c r="D48" s="27"/>
      <c r="E48" s="30" t="s">
        <v>62</v>
      </c>
      <c r="F48" s="27"/>
      <c r="G48" s="27"/>
    </row>
    <row r="49" spans="2:7" ht="22" customHeight="1" x14ac:dyDescent="0.2">
      <c r="B49" s="23"/>
      <c r="C49" s="41"/>
      <c r="D49" s="33"/>
      <c r="E49" s="32"/>
      <c r="F49" s="33"/>
      <c r="G49" s="33"/>
    </row>
    <row r="50" spans="2:7" ht="22" customHeight="1" x14ac:dyDescent="0.2">
      <c r="B50" s="22" t="s">
        <v>65</v>
      </c>
      <c r="C50" s="31">
        <v>48</v>
      </c>
      <c r="D50" s="27"/>
      <c r="E50" s="30" t="s">
        <v>66</v>
      </c>
      <c r="F50" s="27"/>
      <c r="G50" s="27"/>
    </row>
    <row r="51" spans="2:7" ht="22" customHeight="1" x14ac:dyDescent="0.2">
      <c r="B51" s="22" t="s">
        <v>67</v>
      </c>
      <c r="C51" s="35">
        <v>2680000</v>
      </c>
      <c r="D51" s="27"/>
      <c r="E51" s="30" t="s">
        <v>68</v>
      </c>
      <c r="F51" s="27"/>
      <c r="G51" s="27"/>
    </row>
    <row r="52" spans="2:7" ht="22" customHeight="1" x14ac:dyDescent="0.2">
      <c r="B52" s="22" t="s">
        <v>69</v>
      </c>
      <c r="C52" s="35">
        <v>520000</v>
      </c>
      <c r="D52" s="27"/>
      <c r="E52" s="30" t="s">
        <v>70</v>
      </c>
      <c r="F52" s="27"/>
      <c r="G52" s="27"/>
    </row>
    <row r="55" spans="2:7" ht="22" customHeight="1" x14ac:dyDescent="0.2">
      <c r="B55" s="34" t="s">
        <v>71</v>
      </c>
      <c r="C55" s="25"/>
      <c r="D55" s="25"/>
      <c r="E55" s="25"/>
      <c r="F55" s="25"/>
      <c r="G55" s="25"/>
    </row>
  </sheetData>
  <mergeCells count="36">
    <mergeCell ref="B45:G45"/>
    <mergeCell ref="E47:G47"/>
    <mergeCell ref="B35:G35"/>
    <mergeCell ref="B4:G4"/>
    <mergeCell ref="E50:G50"/>
    <mergeCell ref="B8:G11"/>
    <mergeCell ref="C48:D48"/>
    <mergeCell ref="B7:G7"/>
    <mergeCell ref="D41:G41"/>
    <mergeCell ref="B22:G22"/>
    <mergeCell ref="C21:F21"/>
    <mergeCell ref="E48:G48"/>
    <mergeCell ref="B32:C32"/>
    <mergeCell ref="B18:G18"/>
    <mergeCell ref="D37:G37"/>
    <mergeCell ref="C49:D49"/>
    <mergeCell ref="E46:G46"/>
    <mergeCell ref="C47:D47"/>
    <mergeCell ref="E49:G49"/>
    <mergeCell ref="C50:D50"/>
    <mergeCell ref="B55:G55"/>
    <mergeCell ref="C46:D46"/>
    <mergeCell ref="C51:D51"/>
    <mergeCell ref="C52:D52"/>
    <mergeCell ref="E52:G52"/>
    <mergeCell ref="E51:G51"/>
    <mergeCell ref="B2:G2"/>
    <mergeCell ref="D39:G39"/>
    <mergeCell ref="B13:G13"/>
    <mergeCell ref="D42:G42"/>
    <mergeCell ref="D38:G38"/>
    <mergeCell ref="B24:G24"/>
    <mergeCell ref="D40:G40"/>
    <mergeCell ref="B20:G20"/>
    <mergeCell ref="D36:G36"/>
    <mergeCell ref="B3:G3"/>
  </mergeCells>
  <conditionalFormatting sqref="G26:G30">
    <cfRule type="cellIs" dxfId="0" priority="1" operator="equal">
      <formula>"✗ NO CUMPLE"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 PL Patrullas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ROMERO CONRADO ALFONSO</cp:lastModifiedBy>
  <dcterms:created xsi:type="dcterms:W3CDTF">2026-04-22T00:27:59Z</dcterms:created>
  <dcterms:modified xsi:type="dcterms:W3CDTF">2026-04-22T01:33:27Z</dcterms:modified>
</cp:coreProperties>
</file>